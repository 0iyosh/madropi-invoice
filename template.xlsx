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Pengiriman" sheetId="1" r:id="rId5"/>
  </sheets>
  <definedNames/>
  <calcPr/>
</workbook>
</file>

<file path=xl/sharedStrings.xml><?xml version="1.0" encoding="utf-8"?>
<sst xmlns="http://schemas.openxmlformats.org/spreadsheetml/2006/main" count="30" uniqueCount="24">
  <si>
    <t>REKAPITULASI PENGIRIMAN MATERIAL MAKADAM (INVOICE)</t>
  </si>
  <si>
    <t>Lokasi Proyek : CONDO VILLAS SUMMARECON</t>
  </si>
  <si>
    <t>No</t>
  </si>
  <si>
    <t>Tanggal</t>
  </si>
  <si>
    <t>Plat Nomor</t>
  </si>
  <si>
    <t>Dimensi Mobil</t>
  </si>
  <si>
    <t>Volume
(m3)</t>
  </si>
  <si>
    <t>Harga / m3</t>
  </si>
  <si>
    <t>Total</t>
  </si>
  <si>
    <t>Keterangan</t>
  </si>
  <si>
    <t>Panjang (m)</t>
  </si>
  <si>
    <t>Lebar (m)</t>
  </si>
  <si>
    <t>Tinggi (m)</t>
  </si>
  <si>
    <t>B 9451 GYV</t>
  </si>
  <si>
    <t>CV. SUMMARECON</t>
  </si>
  <si>
    <t>BA 9873 BU</t>
  </si>
  <si>
    <t>B 9207 UYT</t>
  </si>
  <si>
    <t>GRAND TOTAL</t>
  </si>
  <si>
    <t>Terbilang :  Dua puluh dua juta delapan ratus empat ribu empat ratus rupiah</t>
  </si>
  <si>
    <t>Catatan :</t>
  </si>
  <si>
    <t>1. Pembayaran dilakukan secara transfer ke rekening tujuan</t>
  </si>
  <si>
    <t>No. Rek Bank BCA     723-544-6995 A/N RETNO HANDAYANI</t>
  </si>
  <si>
    <t>Tangerang, 10 Oktober 2026</t>
  </si>
  <si>
    <t>MADROPI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</si>
</sst>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 mmmm\ yyyy"/>
    <numFmt numFmtId="165" formatCode="0.###"/>
  </numFmts>
  <fonts count="6">
    <font>
      <sz val="11.0"/>
      <color rgb="FF000000"/>
      <name val="Carlito"/>
      <scheme val="minor"/>
    </font>
    <font>
      <b/>
      <sz val="14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/>
    <font>
      <b/>
      <i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A6C9EB"/>
        <bgColor rgb="FFA6C9EB"/>
      </patternFill>
    </fill>
    <fill>
      <patternFill patternType="solid">
        <fgColor theme="0"/>
        <bgColor theme="0"/>
      </patternFill>
    </fill>
    <fill>
      <patternFill patternType="solid">
        <fgColor rgb="FFFFF200"/>
        <bgColor rgb="FFFFF2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2" numFmtId="0" xfId="0" applyAlignment="1" applyBorder="1" applyFill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3" numFmtId="164" xfId="0" applyAlignment="1" applyBorder="1" applyFont="1" applyNumberForma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6" fillId="0" fontId="3" numFmtId="3" xfId="0" applyAlignment="1" applyBorder="1" applyFont="1" applyNumberFormat="1">
      <alignment horizontal="center" readingOrder="0" vertical="center"/>
    </xf>
    <xf borderId="6" fillId="0" fontId="3" numFmtId="3" xfId="0" applyAlignment="1" applyBorder="1" applyFont="1" applyNumberFormat="1">
      <alignment horizontal="center" vertical="center"/>
    </xf>
    <xf borderId="6" fillId="0" fontId="3" numFmtId="165" xfId="0" applyAlignment="1" applyBorder="1" applyFont="1" applyNumberFormat="1">
      <alignment horizontal="center" vertical="center"/>
    </xf>
    <xf borderId="6" fillId="3" fontId="3" numFmtId="0" xfId="0" applyAlignment="1" applyBorder="1" applyFill="1" applyFont="1">
      <alignment horizontal="center" vertical="center"/>
    </xf>
    <xf borderId="6" fillId="3" fontId="3" numFmtId="164" xfId="0" applyAlignment="1" applyBorder="1" applyFill="1" applyFont="1" applyNumberFormat="1">
      <alignment horizontal="center" readingOrder="0" vertical="center"/>
    </xf>
    <xf borderId="6" fillId="3" fontId="3" numFmtId="3" xfId="0" applyAlignment="1" applyBorder="1" applyFill="1" applyFont="1" applyNumberFormat="1">
      <alignment horizontal="center" vertical="center"/>
    </xf>
    <xf borderId="6" fillId="3" fontId="3" numFmtId="165" xfId="0" applyAlignment="1" applyBorder="1" applyFill="1" applyFont="1" applyNumberFormat="1">
      <alignment horizontal="center" vertical="center"/>
    </xf>
    <xf borderId="6" fillId="3" fontId="3" numFmtId="0" xfId="0" applyAlignment="1" applyBorder="1" applyFill="1" applyFont="1">
      <alignment horizontal="center" readingOrder="0" vertical="center"/>
    </xf>
    <xf borderId="6" fillId="4" fontId="3" numFmtId="0" xfId="0" applyAlignment="1" applyBorder="1" applyFill="1" applyFont="1">
      <alignment horizontal="center" vertical="center"/>
    </xf>
    <xf borderId="6" fillId="4" fontId="3" numFmtId="164" xfId="0" applyAlignment="1" applyBorder="1" applyFill="1" applyFont="1" applyNumberFormat="1">
      <alignment horizontal="center" readingOrder="0" vertical="center"/>
    </xf>
    <xf borderId="6" fillId="4" fontId="3" numFmtId="3" xfId="0" applyAlignment="1" applyBorder="1" applyFill="1" applyFont="1" applyNumberFormat="1">
      <alignment horizontal="center" vertical="center"/>
    </xf>
    <xf borderId="6" fillId="4" fontId="3" numFmtId="3" xfId="0" applyAlignment="1" applyBorder="1" applyFill="1" applyFont="1" applyNumberFormat="1">
      <alignment horizontal="center" readingOrder="0" vertical="center"/>
    </xf>
    <xf borderId="6" fillId="4" fontId="3" numFmtId="165" xfId="0" applyAlignment="1" applyBorder="1" applyFill="1" applyFont="1" applyNumberFormat="1">
      <alignment horizontal="center" vertical="center"/>
    </xf>
    <xf borderId="6" fillId="3" fontId="3" numFmtId="164" xfId="0" applyAlignment="1" applyBorder="1" applyFill="1" applyFont="1" applyNumberFormat="1">
      <alignment horizontal="center" vertical="center"/>
    </xf>
    <xf borderId="6" fillId="4" fontId="3" numFmtId="164" xfId="0" applyAlignment="1" applyBorder="1" applyFill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6" fillId="5" fontId="2" numFmtId="3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horizontal="left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 fitToPage="1"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3" width="18.0"/>
    <col customWidth="1" min="4" max="4" width="14.0"/>
    <col customWidth="1" min="5" max="5" width="12.0"/>
    <col customWidth="1" min="6" max="6" width="13.0"/>
    <col customWidth="1" min="7" max="7" width="14.0"/>
    <col customWidth="1" min="8" max="8" width="15.0"/>
    <col customWidth="1" min="9" max="9" width="18.0"/>
    <col customWidth="1" min="10" max="10" width="20.0"/>
    <col customWidth="1" min="11" max="26" width="8.63"/>
  </cols>
  <sheetData>
    <row r="1" ht="24.0" customHeight="1">
      <c r="A1" s="1" t="s">
        <v>0</v>
      </c>
    </row>
    <row r="2" ht="18.0" customHeight="1">
      <c r="A2" s="2" t="s">
        <v>1</v>
      </c>
    </row>
    <row r="3" ht="9.75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ht="27.0" customHeight="1">
      <c r="A4" s="4" t="s">
        <v>2</v>
      </c>
      <c r="B4" s="4" t="s">
        <v>3</v>
      </c>
      <c r="C4" s="4" t="s">
        <v>4</v>
      </c>
      <c r="D4" s="5" t="s">
        <v>5</v>
      </c>
      <c r="E4" s="6"/>
      <c r="F4" s="7"/>
      <c r="G4" s="4" t="s">
        <v>6</v>
      </c>
      <c r="H4" s="4" t="s">
        <v>7</v>
      </c>
      <c r="I4" s="4" t="s">
        <v>8</v>
      </c>
      <c r="J4" s="4" t="s">
        <v>9</v>
      </c>
    </row>
    <row r="5" ht="27.0" customHeight="1">
      <c r="A5" s="8"/>
      <c r="B5" s="8"/>
      <c r="C5" s="8"/>
      <c r="D5" s="9" t="s">
        <v>10</v>
      </c>
      <c r="E5" s="9" t="s">
        <v>11</v>
      </c>
      <c r="F5" s="9" t="s">
        <v>12</v>
      </c>
      <c r="G5" s="8"/>
      <c r="H5" s="8"/>
      <c r="I5" s="8"/>
      <c r="J5" s="8"/>
    </row>
    <row r="6" ht="19.5" customHeight="1">
      <c r="A6" s="10">
        <v>1.0</v>
      </c>
      <c r="B6" s="11">
        <v>46300.0</v>
      </c>
      <c r="C6" s="12" t="s">
        <v>13</v>
      </c>
      <c r="D6" s="13">
        <v>580.0</v>
      </c>
      <c r="E6" s="14">
        <v>235.0</v>
      </c>
      <c r="F6" s="13">
        <v>170.0</v>
      </c>
      <c r="G6" s="15">
        <f t="shared" ref="G6:G7" si="1">ROUND(D6*E6*F6/1000000,3)</f>
        <v>23.171</v>
      </c>
      <c r="H6" s="14">
        <v>200000.0</v>
      </c>
      <c r="I6" s="14">
        <f t="shared" ref="I6:I7" si="2">G6*H6</f>
        <v>4634200</v>
      </c>
      <c r="J6" s="12" t="s">
        <v>14</v>
      </c>
    </row>
    <row r="7" ht="19.5" customHeight="1">
      <c r="A7" s="10">
        <v>2.0</v>
      </c>
      <c r="B7" s="11">
        <v>46300.0</v>
      </c>
      <c r="C7" s="12" t="s">
        <v>15</v>
      </c>
      <c r="D7" s="13">
        <v>600.0</v>
      </c>
      <c r="E7" s="14">
        <v>235.0</v>
      </c>
      <c r="F7" s="13">
        <v>160.0</v>
      </c>
      <c r="G7" s="15">
        <f t="shared" si="1"/>
        <v>22.56</v>
      </c>
      <c r="H7" s="14">
        <v>200000.0</v>
      </c>
      <c r="I7" s="14">
        <f t="shared" si="2"/>
        <v>4512000</v>
      </c>
      <c r="J7" s="12" t="s">
        <v>14</v>
      </c>
    </row>
    <row r="8" ht="19.5" customHeight="1">
      <c r="A8" s="16"/>
      <c r="B8" s="17"/>
      <c r="C8" s="16"/>
      <c r="D8" s="18"/>
      <c r="E8" s="18"/>
      <c r="F8" s="18"/>
      <c r="G8" s="19"/>
      <c r="H8" s="18"/>
      <c r="I8" s="18"/>
      <c r="J8" s="20"/>
    </row>
    <row r="9" ht="19.5" customHeight="1">
      <c r="A9" s="21">
        <v>3.0</v>
      </c>
      <c r="B9" s="22">
        <v>46301.0</v>
      </c>
      <c r="C9" s="21" t="s">
        <v>16</v>
      </c>
      <c r="D9" s="23">
        <v>600.0</v>
      </c>
      <c r="E9" s="23">
        <v>235.0</v>
      </c>
      <c r="F9" s="24">
        <v>160.0</v>
      </c>
      <c r="G9" s="25">
        <f t="shared" ref="G9:G11" si="3">ROUND(D9*E9*F9/1000000,3)</f>
        <v>22.56</v>
      </c>
      <c r="H9" s="23">
        <v>200000.0</v>
      </c>
      <c r="I9" s="23">
        <f t="shared" ref="I9:I11" si="4">G9*H9</f>
        <v>4512000</v>
      </c>
      <c r="J9" s="12" t="s">
        <v>14</v>
      </c>
    </row>
    <row r="10" ht="19.5" customHeight="1">
      <c r="A10" s="10">
        <v>4.0</v>
      </c>
      <c r="B10" s="22">
        <v>46301.0</v>
      </c>
      <c r="C10" s="12" t="s">
        <v>15</v>
      </c>
      <c r="D10" s="13">
        <v>600.0</v>
      </c>
      <c r="E10" s="14">
        <v>235.0</v>
      </c>
      <c r="F10" s="13">
        <v>160.0</v>
      </c>
      <c r="G10" s="15">
        <f t="shared" si="3"/>
        <v>22.56</v>
      </c>
      <c r="H10" s="14">
        <v>200000.0</v>
      </c>
      <c r="I10" s="14">
        <f t="shared" si="4"/>
        <v>4512000</v>
      </c>
      <c r="J10" s="12" t="s">
        <v>14</v>
      </c>
    </row>
    <row r="11" ht="19.5" customHeight="1">
      <c r="A11" s="10">
        <v>5.0</v>
      </c>
      <c r="B11" s="22">
        <v>46301.0</v>
      </c>
      <c r="C11" s="12" t="s">
        <v>13</v>
      </c>
      <c r="D11" s="13">
        <v>580.0</v>
      </c>
      <c r="E11" s="14">
        <v>235.0</v>
      </c>
      <c r="F11" s="13">
        <v>170.0</v>
      </c>
      <c r="G11" s="15">
        <f t="shared" si="3"/>
        <v>23.171</v>
      </c>
      <c r="H11" s="14">
        <v>200000.0</v>
      </c>
      <c r="I11" s="14">
        <f t="shared" si="4"/>
        <v>4634200</v>
      </c>
      <c r="J11" s="12" t="s">
        <v>14</v>
      </c>
    </row>
    <row r="12" ht="19.5" customHeight="1">
      <c r="A12" s="16"/>
      <c r="B12" s="26"/>
      <c r="C12" s="16"/>
      <c r="D12" s="18"/>
      <c r="E12" s="18"/>
      <c r="F12" s="18"/>
      <c r="G12" s="19"/>
      <c r="H12" s="18"/>
      <c r="I12" s="18"/>
      <c r="J12" s="20"/>
    </row>
    <row r="13" ht="19.5" customHeight="1">
      <c r="A13" s="21"/>
      <c r="B13" s="27"/>
      <c r="C13" s="21"/>
      <c r="D13" s="23"/>
      <c r="E13" s="23"/>
      <c r="F13" s="23"/>
      <c r="G13" s="25"/>
      <c r="H13" s="23"/>
      <c r="I13" s="23"/>
      <c r="J13" s="21"/>
    </row>
    <row r="14" ht="19.5" customHeight="1">
      <c r="A14" s="21"/>
      <c r="B14" s="27"/>
      <c r="C14" s="21"/>
      <c r="D14" s="23"/>
      <c r="E14" s="23"/>
      <c r="F14" s="23"/>
      <c r="G14" s="25"/>
      <c r="H14" s="23"/>
      <c r="I14" s="23"/>
      <c r="J14" s="21"/>
    </row>
    <row r="15" ht="21.0" customHeight="1">
      <c r="A15" s="28" t="s">
        <v>17</v>
      </c>
      <c r="B15" s="6"/>
      <c r="C15" s="6"/>
      <c r="D15" s="6"/>
      <c r="E15" s="6"/>
      <c r="F15" s="6"/>
      <c r="G15" s="6"/>
      <c r="H15" s="7"/>
      <c r="I15" s="29">
        <f>SUM(I6:I14)</f>
        <v>22804400</v>
      </c>
      <c r="J15" s="29"/>
    </row>
    <row r="16" ht="12.0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21.75" customHeight="1">
      <c r="A17" s="30" t="s">
        <v>18</v>
      </c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ht="19.5" customHeight="1">
      <c r="A19" s="31" t="s">
        <v>19</v>
      </c>
      <c r="B19" s="3"/>
      <c r="C19" s="3"/>
      <c r="D19" s="3"/>
      <c r="E19" s="3"/>
      <c r="F19" s="3"/>
      <c r="G19" s="3"/>
      <c r="H19" s="3"/>
      <c r="I19" s="3"/>
      <c r="J19" s="3"/>
    </row>
    <row r="20" ht="19.5" customHeight="1">
      <c r="A20" s="3" t="s">
        <v>20</v>
      </c>
    </row>
    <row r="21" ht="19.5" customHeight="1">
      <c r="A21" s="3" t="s">
        <v>21</v>
      </c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ht="21.75" customHeight="1">
      <c r="A23" s="3"/>
      <c r="B23" s="3"/>
      <c r="C23" s="3"/>
      <c r="D23" s="3"/>
      <c r="E23" s="3"/>
      <c r="F23" s="3"/>
    </row>
    <row r="24" ht="21.75" customHeight="1">
      <c r="A24" s="3"/>
      <c r="B24" s="3"/>
      <c r="C24" s="3"/>
      <c r="D24" s="3"/>
      <c r="E24" s="3"/>
      <c r="F24" s="3"/>
      <c r="G24" s="32" t="s">
        <v>22</v>
      </c>
    </row>
    <row r="25" ht="21.75" customHeight="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ht="21.75" customHeight="1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ht="21.75" customHeight="1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ht="21.75" customHeight="1">
      <c r="A28" s="3"/>
      <c r="B28" s="3"/>
      <c r="C28" s="3"/>
      <c r="D28" s="3"/>
      <c r="E28" s="3"/>
      <c r="F28" s="3"/>
    </row>
    <row r="29" ht="14.25" customHeight="1"/>
    <row r="30" ht="14.25" customHeight="1"/>
    <row r="31" ht="14.25" customHeight="1"/>
    <row r="32" ht="14.25" customHeight="1"/>
    <row r="33" ht="14.25" customHeight="1">
      <c r="G33" s="33" t="s">
        <v>23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16">
    <mergeCell ref="H4:H5"/>
    <mergeCell ref="I4:I5"/>
    <mergeCell ref="D4:F4"/>
    <mergeCell ref="A15:H15"/>
    <mergeCell ref="A17:J17"/>
    <mergeCell ref="A20:J20"/>
    <mergeCell ref="A21:J21"/>
    <mergeCell ref="G24:J24"/>
    <mergeCell ref="G33:J33"/>
    <mergeCell ref="A1:J1"/>
    <mergeCell ref="A2:J2"/>
    <mergeCell ref="A4:A5"/>
    <mergeCell ref="B4:B5"/>
    <mergeCell ref="C4:C5"/>
    <mergeCell ref="G4:G5"/>
    <mergeCell ref="J4:J5"/>
  </mergeCells>
  <printOptions/>
  <pageMargins bottom="0.75" footer="0.0" header="0.0" left="0.25" right="0.25" top="0.75"/>
  <pageSetup fitToHeight="0" paperSize="9" orientation="portrait"/>
  <drawing r:id="rId1"/>
</worksheet>
</file>